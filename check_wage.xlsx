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Projects\Frank Chapter 3\"/>
    </mc:Choice>
  </mc:AlternateContent>
  <xr:revisionPtr revIDLastSave="0" documentId="13_ncr:1_{1B3D1653-B9B1-4D9F-8750-1AC37B81AB5C}" xr6:coauthVersionLast="47" xr6:coauthVersionMax="47" xr10:uidLastSave="{00000000-0000-0000-0000-000000000000}"/>
  <bookViews>
    <workbookView xWindow="38280" yWindow="-120" windowWidth="38640" windowHeight="21120" xr2:uid="{2EE23EC3-1593-445E-8E5D-2A19591642BD}"/>
  </bookViews>
  <sheets>
    <sheet name="Sheet2" sheetId="1" r:id="rId1"/>
    <sheet name="Sheet3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9" i="1" l="1"/>
  <c r="B61" i="1"/>
  <c r="B59" i="1"/>
  <c r="B46" i="1"/>
  <c r="E46" i="1"/>
  <c r="B48" i="1"/>
  <c r="C37" i="1"/>
  <c r="B37" i="1"/>
  <c r="B34" i="1"/>
  <c r="B32" i="1"/>
  <c r="B21" i="1"/>
  <c r="B20" i="1"/>
  <c r="C24" i="1"/>
  <c r="C23" i="1"/>
  <c r="B25" i="1"/>
  <c r="B23" i="1"/>
  <c r="E2" i="1"/>
  <c r="B8" i="1"/>
  <c r="B18" i="1"/>
  <c r="B66" i="1" l="1"/>
  <c r="B53" i="1"/>
  <c r="B50" i="1"/>
  <c r="C66" i="1"/>
  <c r="B63" i="1"/>
  <c r="B64" i="1"/>
  <c r="C53" i="1"/>
  <c r="C54" i="1"/>
  <c r="B54" i="1"/>
  <c r="B51" i="1"/>
  <c r="C38" i="1"/>
  <c r="B38" i="1"/>
  <c r="B35" i="1"/>
  <c r="C25" i="1"/>
  <c r="B24" i="1"/>
  <c r="B12" i="1"/>
  <c r="E4" i="1"/>
  <c r="J4" i="1"/>
  <c r="J5" i="1" s="1"/>
  <c r="B3" i="1" s="1"/>
  <c r="E3" i="1" s="1"/>
  <c r="C67" i="1" l="1"/>
  <c r="B67" i="1"/>
  <c r="B68" i="1"/>
  <c r="C68" i="1"/>
  <c r="B55" i="1"/>
  <c r="C55" i="1"/>
  <c r="B39" i="1"/>
  <c r="C39" i="1"/>
  <c r="E6" i="1"/>
  <c r="B13" i="1"/>
</calcChain>
</file>

<file path=xl/sharedStrings.xml><?xml version="1.0" encoding="utf-8"?>
<sst xmlns="http://schemas.openxmlformats.org/spreadsheetml/2006/main" count="56" uniqueCount="32">
  <si>
    <t>is hourly compliant with overtime?</t>
  </si>
  <si>
    <t>is hourly compliant?</t>
  </si>
  <si>
    <t>is monthly compliant?</t>
  </si>
  <si>
    <t>hourly wage with overtime</t>
  </si>
  <si>
    <t>effective hours</t>
  </si>
  <si>
    <t>typically weekly hours</t>
  </si>
  <si>
    <t>wage per month</t>
  </si>
  <si>
    <t>weeks per month</t>
  </si>
  <si>
    <t>days worked per week</t>
  </si>
  <si>
    <t>CNS factror</t>
  </si>
  <si>
    <t>Constants</t>
  </si>
  <si>
    <t>CNS factor as states in law (rounded)</t>
  </si>
  <si>
    <t>Derive CNS factor</t>
  </si>
  <si>
    <t>average workdays per month no rounding</t>
  </si>
  <si>
    <t>CNS factor derived (no rounding)</t>
  </si>
  <si>
    <t>legal hours per day</t>
  </si>
  <si>
    <t>legal hours per week</t>
  </si>
  <si>
    <t>average weeks per month</t>
  </si>
  <si>
    <t>Min wage per month</t>
  </si>
  <si>
    <t>Person 1 earns exactly min wage and works standard hours</t>
  </si>
  <si>
    <t>hourly min wage using CNS from law</t>
  </si>
  <si>
    <t>hourly min wage using CNS derived</t>
  </si>
  <si>
    <t>hourly min wage using weeks</t>
  </si>
  <si>
    <t>hourly wage received</t>
  </si>
  <si>
    <t>gap between derived CNS and legal CNS, percent</t>
  </si>
  <si>
    <t>min wage per hour, legal CNS</t>
  </si>
  <si>
    <t>min wage per hour, derived CNS</t>
  </si>
  <si>
    <t>Person earns exactly min wage and works some overtime</t>
  </si>
  <si>
    <t>Person works some overtime and is comepnsated for it without the extra overtime pay</t>
  </si>
  <si>
    <t>Person works some overtime and is comepnsated for it with overtime rate</t>
  </si>
  <si>
    <t>pay for 2 hours extra in typical week at normal rate</t>
  </si>
  <si>
    <t>pay for 2 hours extra in typical week at overtime 1.35x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</si>
</sst>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2" borderId="0" xfId="0" applyFill="1"/>
    <xf numFmtId="0" fontId="0" fillId="0" borderId="0" xfId="0" applyBorder="1"/>
    <xf numFmtId="167" fontId="0" fillId="0" borderId="0" xfId="0" applyNumberFormat="1"/>
    <xf numFmtId="0" fontId="0" fillId="0" borderId="0" xfId="0" applyFill="1" applyBorder="1"/>
    <xf numFmtId="0" fontId="0" fillId="0" borderId="0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6816-7771-4A3B-9859-23516BAADB21}">
  <dimension ref="A1:J68"/>
  <sheetViews>
    <sheetView tabSelected="1" topLeftCell="A31" workbookViewId="0">
      <selection activeCell="E46" sqref="E46"/>
    </sheetView>
  </sheetViews>
  <sheetFormatPr defaultRowHeight="15" x14ac:dyDescent="0.25"/>
  <cols>
    <col min="1" max="1" width="53" customWidth="1"/>
    <col min="2" max="2" width="32.140625" customWidth="1"/>
    <col min="3" max="3" width="29.140625" customWidth="1"/>
    <col min="4" max="4" width="54.7109375" customWidth="1"/>
    <col min="5" max="5" width="17.5703125" customWidth="1"/>
    <col min="9" max="9" width="21.140625" bestFit="1" customWidth="1"/>
    <col min="10" max="10" width="20.28515625" customWidth="1"/>
  </cols>
  <sheetData>
    <row r="1" spans="1:10" x14ac:dyDescent="0.25">
      <c r="A1" s="2" t="s">
        <v>10</v>
      </c>
      <c r="B1" s="2"/>
      <c r="I1" s="3" t="s">
        <v>12</v>
      </c>
      <c r="J1" s="3"/>
    </row>
    <row r="2" spans="1:10" ht="14.25" customHeight="1" x14ac:dyDescent="0.25">
      <c r="A2" t="s">
        <v>11</v>
      </c>
      <c r="B2">
        <v>23.83</v>
      </c>
      <c r="D2" t="s">
        <v>20</v>
      </c>
      <c r="E2" s="7">
        <f>B10/(B2*B5)</f>
        <v>15.736466638690727</v>
      </c>
      <c r="I2" s="4" t="s">
        <v>13</v>
      </c>
      <c r="J2" s="4"/>
    </row>
    <row r="3" spans="1:10" x14ac:dyDescent="0.25">
      <c r="A3" t="s">
        <v>14</v>
      </c>
      <c r="B3">
        <f>J5</f>
        <v>23.833333333333332</v>
      </c>
      <c r="D3" s="6" t="s">
        <v>21</v>
      </c>
      <c r="E3" s="6">
        <f>B10/(B3*B5)</f>
        <v>15.734265734265735</v>
      </c>
      <c r="F3" s="6"/>
      <c r="I3" t="s">
        <v>8</v>
      </c>
      <c r="J3">
        <v>5.5</v>
      </c>
    </row>
    <row r="4" spans="1:10" x14ac:dyDescent="0.25">
      <c r="D4" s="6" t="s">
        <v>22</v>
      </c>
      <c r="E4" s="6">
        <f>B10/(B8*B6)</f>
        <v>15.734265734265735</v>
      </c>
      <c r="F4" s="6"/>
      <c r="I4" t="s">
        <v>7</v>
      </c>
      <c r="J4">
        <f>B8</f>
        <v>4.333333333333333</v>
      </c>
    </row>
    <row r="5" spans="1:10" x14ac:dyDescent="0.25">
      <c r="A5" t="s">
        <v>15</v>
      </c>
      <c r="B5">
        <v>8</v>
      </c>
      <c r="D5" s="6"/>
      <c r="E5" s="6"/>
      <c r="F5" s="6"/>
      <c r="I5" s="5" t="s">
        <v>9</v>
      </c>
      <c r="J5" s="5">
        <f>J3*J4</f>
        <v>23.833333333333332</v>
      </c>
    </row>
    <row r="6" spans="1:10" x14ac:dyDescent="0.25">
      <c r="A6" t="s">
        <v>16</v>
      </c>
      <c r="B6">
        <v>44</v>
      </c>
      <c r="D6" s="8" t="s">
        <v>24</v>
      </c>
      <c r="E6" s="9">
        <f>((E3-E2)/E2)*100</f>
        <v>-1.3986013986015761E-2</v>
      </c>
      <c r="F6" s="6"/>
    </row>
    <row r="7" spans="1:10" x14ac:dyDescent="0.25">
      <c r="D7" s="6"/>
      <c r="E7" s="6"/>
      <c r="F7" s="6"/>
    </row>
    <row r="8" spans="1:10" x14ac:dyDescent="0.25">
      <c r="A8" t="s">
        <v>17</v>
      </c>
      <c r="B8">
        <f>52/12</f>
        <v>4.333333333333333</v>
      </c>
      <c r="D8" s="6"/>
      <c r="E8" s="6"/>
      <c r="F8" s="6"/>
    </row>
    <row r="9" spans="1:10" x14ac:dyDescent="0.25">
      <c r="D9" s="6"/>
      <c r="E9" s="6"/>
      <c r="F9" s="6"/>
    </row>
    <row r="10" spans="1:10" x14ac:dyDescent="0.25">
      <c r="A10" t="s">
        <v>18</v>
      </c>
      <c r="B10">
        <v>3000</v>
      </c>
    </row>
    <row r="12" spans="1:10" x14ac:dyDescent="0.25">
      <c r="A12" t="s">
        <v>25</v>
      </c>
      <c r="B12" s="7">
        <f>E2</f>
        <v>15.736466638690727</v>
      </c>
    </row>
    <row r="13" spans="1:10" x14ac:dyDescent="0.25">
      <c r="A13" t="s">
        <v>26</v>
      </c>
      <c r="B13">
        <f>E3</f>
        <v>15.734265734265735</v>
      </c>
    </row>
    <row r="15" spans="1:10" x14ac:dyDescent="0.25">
      <c r="A15" s="1" t="s">
        <v>19</v>
      </c>
      <c r="B15" s="1"/>
    </row>
    <row r="16" spans="1:10" x14ac:dyDescent="0.25">
      <c r="A16" t="s">
        <v>6</v>
      </c>
      <c r="B16">
        <v>3000</v>
      </c>
    </row>
    <row r="17" spans="1:3" x14ac:dyDescent="0.25">
      <c r="A17" t="s">
        <v>5</v>
      </c>
      <c r="B17">
        <v>44</v>
      </c>
    </row>
    <row r="18" spans="1:3" x14ac:dyDescent="0.25">
      <c r="A18" t="s">
        <v>4</v>
      </c>
      <c r="B18">
        <f>IF(B17&gt;44,IF(B17&lt;68, 44 +(B17-44)*1.35, 44 + (24 * 1.35) + ((B17-68)*2)),B17)</f>
        <v>44</v>
      </c>
    </row>
    <row r="20" spans="1:3" x14ac:dyDescent="0.25">
      <c r="A20" t="s">
        <v>23</v>
      </c>
      <c r="B20">
        <f>B16/($B$8*B17)</f>
        <v>15.734265734265735</v>
      </c>
    </row>
    <row r="21" spans="1:3" x14ac:dyDescent="0.25">
      <c r="A21" t="s">
        <v>3</v>
      </c>
      <c r="B21">
        <f>B16/($B$8*B18)</f>
        <v>15.734265734265735</v>
      </c>
    </row>
    <row r="23" spans="1:3" x14ac:dyDescent="0.25">
      <c r="A23" t="s">
        <v>2</v>
      </c>
      <c r="B23" t="b">
        <f>B16&gt;=$B$10</f>
        <v>1</v>
      </c>
      <c r="C23" t="b">
        <f>B16&gt;=$B$10</f>
        <v>1</v>
      </c>
    </row>
    <row r="24" spans="1:3" x14ac:dyDescent="0.25">
      <c r="A24" t="s">
        <v>1</v>
      </c>
      <c r="B24" t="b">
        <f>B20&gt;=$B$12</f>
        <v>0</v>
      </c>
      <c r="C24" t="b">
        <f>B20&gt;=$B$13</f>
        <v>1</v>
      </c>
    </row>
    <row r="25" spans="1:3" x14ac:dyDescent="0.25">
      <c r="A25" t="s">
        <v>0</v>
      </c>
      <c r="B25" t="b">
        <f>B21&gt;=$B$12</f>
        <v>0</v>
      </c>
      <c r="C25" t="b">
        <f>B21&gt;=$B$13</f>
        <v>1</v>
      </c>
    </row>
    <row r="29" spans="1:3" x14ac:dyDescent="0.25">
      <c r="A29" s="1" t="s">
        <v>27</v>
      </c>
      <c r="B29" s="1"/>
    </row>
    <row r="30" spans="1:3" x14ac:dyDescent="0.25">
      <c r="A30" t="s">
        <v>6</v>
      </c>
      <c r="B30">
        <v>3000</v>
      </c>
    </row>
    <row r="31" spans="1:3" x14ac:dyDescent="0.25">
      <c r="A31" t="s">
        <v>5</v>
      </c>
      <c r="B31">
        <v>46</v>
      </c>
    </row>
    <row r="32" spans="1:3" x14ac:dyDescent="0.25">
      <c r="A32" t="s">
        <v>4</v>
      </c>
      <c r="B32">
        <f>IF(B31&gt;44,IF(B31&lt;68, 44 +(B31-44)*1.35, 44 + (24 * 1.35) + ((B31-68)*2)),B31)</f>
        <v>46.7</v>
      </c>
    </row>
    <row r="34" spans="1:5" x14ac:dyDescent="0.25">
      <c r="A34" t="s">
        <v>23</v>
      </c>
      <c r="B34">
        <f>B30/($B$8*B31)</f>
        <v>15.050167224080269</v>
      </c>
    </row>
    <row r="35" spans="1:5" x14ac:dyDescent="0.25">
      <c r="A35" t="s">
        <v>3</v>
      </c>
      <c r="B35">
        <f>B30/($B$8*B32)</f>
        <v>14.82457585241311</v>
      </c>
    </row>
    <row r="37" spans="1:5" x14ac:dyDescent="0.25">
      <c r="A37" t="s">
        <v>2</v>
      </c>
      <c r="B37" t="b">
        <f>B30&gt;=$B$10</f>
        <v>1</v>
      </c>
      <c r="C37" t="b">
        <f>B30&gt;=$B$10</f>
        <v>1</v>
      </c>
    </row>
    <row r="38" spans="1:5" x14ac:dyDescent="0.25">
      <c r="A38" t="s">
        <v>1</v>
      </c>
      <c r="B38" t="b">
        <f>B34&gt;=$B$12</f>
        <v>0</v>
      </c>
      <c r="C38" t="b">
        <f>B34&gt;=$B$13</f>
        <v>0</v>
      </c>
    </row>
    <row r="39" spans="1:5" x14ac:dyDescent="0.25">
      <c r="A39" t="s">
        <v>0</v>
      </c>
      <c r="B39" t="b">
        <f>B35&gt;=$B$12</f>
        <v>0</v>
      </c>
      <c r="C39" t="b">
        <f>B35&gt;=$B$13</f>
        <v>0</v>
      </c>
    </row>
    <row r="45" spans="1:5" x14ac:dyDescent="0.25">
      <c r="A45" s="1" t="s">
        <v>28</v>
      </c>
      <c r="B45" s="1"/>
    </row>
    <row r="46" spans="1:5" x14ac:dyDescent="0.25">
      <c r="A46" t="s">
        <v>6</v>
      </c>
      <c r="B46">
        <f>3000 +E46</f>
        <v>3136.3636363636365</v>
      </c>
      <c r="D46" t="s">
        <v>30</v>
      </c>
      <c r="E46">
        <f>B20*(2*B8)</f>
        <v>136.36363636363637</v>
      </c>
    </row>
    <row r="47" spans="1:5" x14ac:dyDescent="0.25">
      <c r="A47" t="s">
        <v>5</v>
      </c>
      <c r="B47">
        <v>46</v>
      </c>
    </row>
    <row r="48" spans="1:5" x14ac:dyDescent="0.25">
      <c r="A48" t="s">
        <v>4</v>
      </c>
      <c r="B48">
        <f>IF(B47&gt;44,IF(B47&lt;68, 44 +(B47-44)*1.35, 44 + (24 * 1.35) + ((B47-68)*2)),B47)</f>
        <v>46.7</v>
      </c>
    </row>
    <row r="50" spans="1:5" x14ac:dyDescent="0.25">
      <c r="A50" t="s">
        <v>23</v>
      </c>
      <c r="B50">
        <f>B46/($B$8*B47)</f>
        <v>15.734265734265737</v>
      </c>
    </row>
    <row r="51" spans="1:5" x14ac:dyDescent="0.25">
      <c r="A51" t="s">
        <v>3</v>
      </c>
      <c r="B51">
        <f>B46/($B$8*B48)</f>
        <v>15.49842020934098</v>
      </c>
    </row>
    <row r="53" spans="1:5" x14ac:dyDescent="0.25">
      <c r="A53" t="s">
        <v>2</v>
      </c>
      <c r="B53" t="b">
        <f>B46&gt;=$B$10</f>
        <v>1</v>
      </c>
      <c r="C53" t="b">
        <f>B46&gt;=$B$10</f>
        <v>1</v>
      </c>
    </row>
    <row r="54" spans="1:5" x14ac:dyDescent="0.25">
      <c r="A54" t="s">
        <v>1</v>
      </c>
      <c r="B54" t="b">
        <f>B50&gt;=$B$12</f>
        <v>0</v>
      </c>
      <c r="C54" t="b">
        <f>B50&gt;=$B$13</f>
        <v>1</v>
      </c>
    </row>
    <row r="55" spans="1:5" x14ac:dyDescent="0.25">
      <c r="A55" t="s">
        <v>0</v>
      </c>
      <c r="B55" t="b">
        <f>B51&gt;=$B$12</f>
        <v>0</v>
      </c>
      <c r="C55" t="b">
        <f>B51&gt;=$B$13</f>
        <v>0</v>
      </c>
    </row>
    <row r="58" spans="1:5" x14ac:dyDescent="0.25">
      <c r="A58" s="1" t="s">
        <v>29</v>
      </c>
      <c r="B58" s="1"/>
    </row>
    <row r="59" spans="1:5" x14ac:dyDescent="0.25">
      <c r="A59" t="s">
        <v>6</v>
      </c>
      <c r="B59">
        <f>3000 +E59</f>
        <v>3184.090909090909</v>
      </c>
      <c r="D59" t="s">
        <v>31</v>
      </c>
      <c r="E59">
        <f>E46*1.35</f>
        <v>184.09090909090912</v>
      </c>
    </row>
    <row r="60" spans="1:5" x14ac:dyDescent="0.25">
      <c r="A60" t="s">
        <v>5</v>
      </c>
      <c r="B60">
        <v>46</v>
      </c>
    </row>
    <row r="61" spans="1:5" x14ac:dyDescent="0.25">
      <c r="A61" t="s">
        <v>4</v>
      </c>
      <c r="B61">
        <f>IF(B60&gt;44,IF(B60&lt;68, 44 +(B60-44)*1.35, 44 + (24 * 1.35) + ((B60-68)*2)),B60)</f>
        <v>46.7</v>
      </c>
    </row>
    <row r="63" spans="1:5" x14ac:dyDescent="0.25">
      <c r="A63" t="s">
        <v>23</v>
      </c>
      <c r="B63">
        <f>B59/($B$8*B60)</f>
        <v>15.973700212830648</v>
      </c>
    </row>
    <row r="64" spans="1:5" x14ac:dyDescent="0.25">
      <c r="A64" t="s">
        <v>3</v>
      </c>
      <c r="B64">
        <f>B59/($B$8*B61)</f>
        <v>15.734265734265733</v>
      </c>
    </row>
    <row r="66" spans="1:3" x14ac:dyDescent="0.25">
      <c r="A66" t="s">
        <v>2</v>
      </c>
      <c r="B66" t="b">
        <f>B59&gt;=$B$10</f>
        <v>1</v>
      </c>
      <c r="C66" t="b">
        <f>B59&gt;=$B$10</f>
        <v>1</v>
      </c>
    </row>
    <row r="67" spans="1:3" x14ac:dyDescent="0.25">
      <c r="A67" t="s">
        <v>1</v>
      </c>
      <c r="B67" t="b">
        <f>B63&gt;=$B$12</f>
        <v>1</v>
      </c>
      <c r="C67" t="b">
        <f>B63&gt;=$B$13</f>
        <v>1</v>
      </c>
    </row>
    <row r="68" spans="1:3" x14ac:dyDescent="0.25">
      <c r="A68" t="s">
        <v>0</v>
      </c>
      <c r="B68" t="b">
        <f>B64&gt;=$B$12</f>
        <v>0</v>
      </c>
      <c r="C68" t="b">
        <f>B64&gt;=$B$13</f>
        <v>1</v>
      </c>
    </row>
  </sheetData>
  <mergeCells count="6">
    <mergeCell ref="A15:B15"/>
    <mergeCell ref="I2:J2"/>
    <mergeCell ref="I1:J1"/>
    <mergeCell ref="A29:B29"/>
    <mergeCell ref="A45:B45"/>
    <mergeCell ref="A58:B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2E1E-EF02-42A8-94CE-BEB2276AF9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lesniak</dc:creator>
  <cp:lastModifiedBy>justin lesniak</cp:lastModifiedBy>
  <dcterms:created xsi:type="dcterms:W3CDTF">2026-06-02T13:46:57Z</dcterms:created>
  <dcterms:modified xsi:type="dcterms:W3CDTF">2026-06-02T16:56:02Z</dcterms:modified>
</cp:coreProperties>
</file>